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575ee08be028d7/Documents/"/>
    </mc:Choice>
  </mc:AlternateContent>
  <xr:revisionPtr revIDLastSave="494" documentId="8_{DFAF464F-3E95-40C3-AC7A-9C73E26C7E9E}" xr6:coauthVersionLast="47" xr6:coauthVersionMax="47" xr10:uidLastSave="{F621FC22-DBFA-4C1A-9D18-0F9E7E2CCFB5}"/>
  <bookViews>
    <workbookView xWindow="-108" yWindow="-108" windowWidth="23256" windowHeight="12456" xr2:uid="{69F8EE5E-7B08-49C5-8A6A-0B6F5A904BE4}"/>
  </bookViews>
  <sheets>
    <sheet name="Business Input" sheetId="1" r:id="rId1"/>
    <sheet name="Cash Flow Model" sheetId="3" r:id="rId2"/>
    <sheet name="Profitability Estimator" sheetId="4" r:id="rId3"/>
    <sheet name="Risk indicators" sheetId="5" r:id="rId4"/>
    <sheet name="Pricing calculator" sheetId="2" r:id="rId5"/>
    <sheet name="Dashboard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3" i="5"/>
  <c r="B9" i="4"/>
  <c r="C4" i="3"/>
  <c r="D5" i="3"/>
  <c r="B5" i="3"/>
  <c r="F6" i="4"/>
  <c r="B3" i="3"/>
  <c r="C3" i="3" s="1"/>
  <c r="E3" i="3" s="1"/>
  <c r="D3" i="3"/>
  <c r="B4" i="3"/>
  <c r="D4" i="3"/>
  <c r="B2" i="5"/>
  <c r="B8" i="4"/>
  <c r="B3" i="4"/>
  <c r="B5" i="4" s="1"/>
  <c r="B6" i="4" s="1"/>
  <c r="B4" i="4"/>
  <c r="F5" i="4" s="1"/>
  <c r="B5" i="2"/>
  <c r="B2" i="2"/>
  <c r="E4" i="3" l="1"/>
  <c r="E5" i="3" s="1"/>
  <c r="C5" i="3"/>
  <c r="B4" i="5" l="1"/>
</calcChain>
</file>

<file path=xl/sharedStrings.xml><?xml version="1.0" encoding="utf-8"?>
<sst xmlns="http://schemas.openxmlformats.org/spreadsheetml/2006/main" count="38" uniqueCount="37">
  <si>
    <t>Financial Survival Toolkit</t>
  </si>
  <si>
    <t>Revenue Assumptions</t>
  </si>
  <si>
    <t>Average Selling Price</t>
  </si>
  <si>
    <t>Monthly Sales Volume</t>
  </si>
  <si>
    <t>Cost Assumptions</t>
  </si>
  <si>
    <t>Variable Cost per Unit</t>
  </si>
  <si>
    <t>Monthly Fixed cost</t>
  </si>
  <si>
    <t>Cash flow Assumptions</t>
  </si>
  <si>
    <t>% Unpaid invoices</t>
  </si>
  <si>
    <t>Expected Monthly Growth</t>
  </si>
  <si>
    <t>Contribution Margin</t>
  </si>
  <si>
    <t>Margin %</t>
  </si>
  <si>
    <t>Pricing Status</t>
  </si>
  <si>
    <t>Monthly Revenue</t>
  </si>
  <si>
    <t>Total Variable Cost</t>
  </si>
  <si>
    <t>Gross profit</t>
  </si>
  <si>
    <t>Net Profit</t>
  </si>
  <si>
    <t>Break-even Units</t>
  </si>
  <si>
    <t>Break-even Revenue</t>
  </si>
  <si>
    <t>Cash Flow Model</t>
  </si>
  <si>
    <t>Month</t>
  </si>
  <si>
    <t>Revenue</t>
  </si>
  <si>
    <t>Cash in</t>
  </si>
  <si>
    <t>Expenses</t>
  </si>
  <si>
    <t>Closing Balance</t>
  </si>
  <si>
    <t>Month 1</t>
  </si>
  <si>
    <t>Month 2</t>
  </si>
  <si>
    <t>Month 3</t>
  </si>
  <si>
    <t>Risk Engine</t>
  </si>
  <si>
    <t>Margin Risk</t>
  </si>
  <si>
    <t>Profit Risk</t>
  </si>
  <si>
    <t>Liquidity Risk</t>
  </si>
  <si>
    <t>Financial Performance &amp; Risk Overview</t>
  </si>
  <si>
    <t>Variable</t>
  </si>
  <si>
    <t>Fixed</t>
  </si>
  <si>
    <t>Profitability Model</t>
  </si>
  <si>
    <t>Pricing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</si>
</sst>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R-1C09]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0"/>
  </cellStyleXfs>
  <cellXfs count="23">
    <xf numFmtId="0" fontId="0" fillId="0" borderId="0" xfId="0"/>
    <xf numFmtId="0" fontId="3" fillId="0" borderId="0" xfId="0" applyFont="1"/>
    <xf numFmtId="168" fontId="1" fillId="2" borderId="0" xfId="1" applyNumberFormat="1"/>
    <xf numFmtId="9" fontId="0" fillId="0" borderId="0" xfId="0" applyNumberFormat="1"/>
    <xf numFmtId="1" fontId="0" fillId="0" borderId="0" xfId="0" applyNumberForma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168" fontId="1" fillId="2" borderId="0" xfId="1" applyNumberFormat="1" applyProtection="1">
      <protection locked="0"/>
    </xf>
    <xf numFmtId="0" fontId="1" fillId="2" borderId="0" xfId="1" applyProtection="1">
      <protection locked="0"/>
    </xf>
    <xf numFmtId="9" fontId="1" fillId="2" borderId="0" xfId="1" applyNumberFormat="1" applyProtection="1">
      <protection locked="0"/>
    </xf>
    <xf numFmtId="168" fontId="0" fillId="0" borderId="5" xfId="0" applyNumberFormat="1" applyBorder="1" applyProtection="1">
      <protection locked="0"/>
    </xf>
    <xf numFmtId="168" fontId="0" fillId="0" borderId="0" xfId="0" applyNumberFormat="1" applyBorder="1" applyProtection="1">
      <protection locked="0"/>
    </xf>
    <xf numFmtId="1" fontId="1" fillId="2" borderId="0" xfId="1" applyNumberFormat="1" applyProtection="1">
      <protection locked="0"/>
    </xf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9" fontId="0" fillId="0" borderId="1" xfId="0" applyNumberFormat="1" applyBorder="1" applyProtection="1">
      <protection locked="0"/>
    </xf>
    <xf numFmtId="0" fontId="0" fillId="0" borderId="0" xfId="0" applyProtection="1">
      <protection locked="0"/>
    </xf>
    <xf numFmtId="0" fontId="6" fillId="0" borderId="0" xfId="0" applyFont="1"/>
  </cellXfs>
  <cellStyles count="2">
    <cellStyle name="Normal" xfId="0" builtinId="0"/>
    <cellStyle name="Style 1" xfId="1" xr:uid="{5CB37032-F26E-4265-A0E5-5B6A16D3017A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>
                <a:solidFill>
                  <a:sysClr val="windowText" lastClr="000000"/>
                </a:solidFill>
              </a:rPr>
              <a:t>Revenue vs Operating Costs Trend </a:t>
            </a:r>
            <a:endParaRPr lang="en-ZA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5876288659793814"/>
          <c:y val="3.2299741602067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0.15659227412524354"/>
          <c:y val="0.27470404984423674"/>
          <c:w val="0.80932456295723776"/>
          <c:h val="0.48234650575220156"/>
        </c:manualLayout>
      </c:layout>
      <c:lineChart>
        <c:grouping val="standard"/>
        <c:varyColors val="0"/>
        <c:ser>
          <c:idx val="0"/>
          <c:order val="0"/>
          <c:tx>
            <c:strRef>
              <c:f>'Cash Flow Model'!$B$2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'Cash Flow Model'!$B$3:$B$5</c:f>
              <c:numCache>
                <c:formatCode>[$R-1C09]#,##0.00</c:formatCode>
                <c:ptCount val="3"/>
                <c:pt idx="0">
                  <c:v>24000</c:v>
                </c:pt>
                <c:pt idx="1">
                  <c:v>25200</c:v>
                </c:pt>
                <c:pt idx="2">
                  <c:v>26460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96-4CB6-A0D1-DF1BBECE2683}"/>
            </c:ext>
          </c:extLst>
        </c:ser>
        <c:ser>
          <c:idx val="1"/>
          <c:order val="1"/>
          <c:tx>
            <c:strRef>
              <c:f>'Cash Flow Model'!$C$2</c:f>
              <c:strCache>
                <c:ptCount val="1"/>
                <c:pt idx="0">
                  <c:v>Cash 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'Cash Flow Model'!$C$3:$C$5</c:f>
              <c:numCache>
                <c:formatCode>[$R-1C09]#,##0.00</c:formatCode>
                <c:ptCount val="3"/>
                <c:pt idx="0">
                  <c:v>21600</c:v>
                </c:pt>
                <c:pt idx="1">
                  <c:v>22680</c:v>
                </c:pt>
                <c:pt idx="2">
                  <c:v>23814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96-4CB6-A0D1-DF1BBECE2683}"/>
            </c:ext>
          </c:extLst>
        </c:ser>
        <c:ser>
          <c:idx val="2"/>
          <c:order val="2"/>
          <c:tx>
            <c:strRef>
              <c:f>'Cash Flow Model'!$D$2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chemeClr val="accent6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'Cash Flow Model'!$D$3:$D$5</c:f>
              <c:numCache>
                <c:formatCode>[$R-1C09]#,##0.00</c:formatCode>
                <c:ptCount val="3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96-4CB6-A0D1-DF1BBECE2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133935"/>
        <c:axId val="108134415"/>
      </c:lineChart>
      <c:catAx>
        <c:axId val="10813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4415"/>
        <c:crosses val="autoZero"/>
        <c:auto val="1"/>
        <c:lblAlgn val="ctr"/>
        <c:lblOffset val="100"/>
        <c:noMultiLvlLbl val="0"/>
      </c:catAx>
      <c:valAx>
        <c:axId val="108134415"/>
        <c:scaling>
          <c:orientation val="minMax"/>
        </c:scaling>
        <c:delete val="0"/>
        <c:axPos val="l"/>
        <c:numFmt formatCode="[$R-1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3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5875" cap="rnd" cmpd="sng" algn="ctr">
      <a:solidFill>
        <a:schemeClr val="bg1">
          <a:lumMod val="75000"/>
          <a:alpha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aseline="0"/>
              <a:t>Cost structure Breakdown (Fixed vs Variable)</a:t>
            </a:r>
          </a:p>
        </c:rich>
      </c:tx>
      <c:layout>
        <c:manualLayout>
          <c:xMode val="edge"/>
          <c:yMode val="edge"/>
          <c:x val="0.14620258686500753"/>
          <c:y val="3.0978699777912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68221839306098"/>
          <c:y val="0.26660155461336571"/>
          <c:w val="0.60597591316710409"/>
          <c:h val="0.6915148607909895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9A-498F-A40E-00886E453D12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9A-498F-A40E-00886E453D1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'Profitability Estimator'!$E$5:$E$6</c:f>
              <c:strCache>
                <c:ptCount val="2"/>
                <c:pt idx="0">
                  <c:v>Variable</c:v>
                </c:pt>
                <c:pt idx="1">
                  <c:v>Fixed</c:v>
                </c:pt>
              </c:strCache>
            </c:strRef>
          </c:cat>
          <c:val>
            <c:numRef>
              <c:f>'Profitability Estimator'!$F$5:$F$6</c:f>
              <c:numCache>
                <c:formatCode>[$R-1C09]#,##0.00</c:formatCode>
                <c:ptCount val="2"/>
                <c:pt idx="0">
                  <c:v>10500</c:v>
                </c:pt>
                <c:pt idx="1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9A-498F-A40E-00886E453D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09734525371832"/>
          <c:y val="0.65647323788568224"/>
          <c:w val="0.19252071030183726"/>
          <c:h val="0.2811697690145565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rnd" cmpd="sng" algn="ctr">
      <a:solidFill>
        <a:schemeClr val="bg1">
          <a:lumMod val="85000"/>
          <a:alpha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8</xdr:row>
      <xdr:rowOff>175260</xdr:rowOff>
    </xdr:from>
    <xdr:to>
      <xdr:col>3</xdr:col>
      <xdr:colOff>217714</xdr:colOff>
      <xdr:row>19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1309F-2282-49AE-A43C-DC804E3E5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261257</xdr:colOff>
      <xdr:row>8</xdr:row>
      <xdr:rowOff>168730</xdr:rowOff>
    </xdr:from>
    <xdr:to>
      <xdr:col>7</xdr:col>
      <xdr:colOff>537308</xdr:colOff>
      <xdr:row>19</xdr:row>
      <xdr:rowOff>138249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88F640-D6CC-4B8F-A223-8539C5B03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</xdr:colOff>
      <xdr:row>3</xdr:row>
      <xdr:rowOff>15240</xdr:rowOff>
    </xdr:from>
    <xdr:to>
      <xdr:col>1</xdr:col>
      <xdr:colOff>152400</xdr:colOff>
      <xdr:row>8</xdr:row>
      <xdr:rowOff>60960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9229190-E0B0-C64C-A4BC-0487AE389E8F}"/>
            </a:ext>
          </a:extLst>
        </xdr:cNvPr>
        <xdr:cNvSpPr txBox="1"/>
      </xdr:nvSpPr>
      <xdr:spPr>
        <a:xfrm>
          <a:off x="30480" y="381000"/>
          <a:ext cx="1074420" cy="1074420"/>
        </a:xfrm>
        <a:prstGeom prst="rect">
          <a:avLst/>
        </a:prstGeom>
        <a:solidFill>
          <a:schemeClr val="lt1"/>
        </a:solidFill>
        <a:ln w="15875" cap="rnd" cmpd="sng">
          <a:solidFill>
            <a:schemeClr val="lt1">
              <a:shade val="50000"/>
              <a:alpha val="52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 b="1"/>
            <a:t>Net Profit</a:t>
          </a:r>
        </a:p>
        <a:p>
          <a:r>
            <a:rPr lang="en-ZA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1.5K</a:t>
          </a:r>
          <a:r>
            <a:rPr lang="en-ZA" sz="2000">
              <a:effectLst/>
            </a:rPr>
            <a:t> </a:t>
          </a:r>
          <a:endParaRPr lang="en-ZA" sz="2000"/>
        </a:p>
      </xdr:txBody>
    </xdr:sp>
    <xdr:clientData/>
  </xdr:twoCellAnchor>
  <xdr:twoCellAnchor>
    <xdr:from>
      <xdr:col>1</xdr:col>
      <xdr:colOff>251460</xdr:colOff>
      <xdr:row>3</xdr:row>
      <xdr:rowOff>15240</xdr:rowOff>
    </xdr:from>
    <xdr:to>
      <xdr:col>2</xdr:col>
      <xdr:colOff>1120140</xdr:colOff>
      <xdr:row>8</xdr:row>
      <xdr:rowOff>68580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A2C7A62-6A79-4F65-A42C-D9CA9B352EEB}"/>
            </a:ext>
          </a:extLst>
        </xdr:cNvPr>
        <xdr:cNvSpPr txBox="1"/>
      </xdr:nvSpPr>
      <xdr:spPr>
        <a:xfrm>
          <a:off x="1203960" y="381000"/>
          <a:ext cx="1798320" cy="1082040"/>
        </a:xfrm>
        <a:prstGeom prst="rect">
          <a:avLst/>
        </a:prstGeom>
        <a:solidFill>
          <a:schemeClr val="lt1"/>
        </a:solidFill>
        <a:ln w="15875" cap="rnd" cmpd="sng">
          <a:solidFill>
            <a:schemeClr val="lt1">
              <a:shade val="50000"/>
              <a:alpha val="58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 b="1"/>
            <a:t>Margin</a:t>
          </a:r>
          <a:r>
            <a:rPr lang="en-ZA" sz="2000" b="1" baseline="0"/>
            <a:t> Percentage</a:t>
          </a:r>
          <a:endParaRPr lang="en-ZA" sz="2000" b="1"/>
        </a:p>
        <a:p>
          <a:r>
            <a:rPr lang="en-ZA" sz="20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100%</a:t>
          </a:r>
          <a:endParaRPr lang="en-ZA" sz="2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1211580</xdr:colOff>
      <xdr:row>3</xdr:row>
      <xdr:rowOff>15240</xdr:rowOff>
    </xdr:from>
    <xdr:to>
      <xdr:col>5</xdr:col>
      <xdr:colOff>137160</xdr:colOff>
      <xdr:row>8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278B3CE-2202-4F79-A369-823134D004BD}"/>
            </a:ext>
          </a:extLst>
        </xdr:cNvPr>
        <xdr:cNvSpPr txBox="1"/>
      </xdr:nvSpPr>
      <xdr:spPr>
        <a:xfrm>
          <a:off x="3093720" y="381000"/>
          <a:ext cx="1805940" cy="1089660"/>
        </a:xfrm>
        <a:prstGeom prst="rect">
          <a:avLst/>
        </a:prstGeom>
        <a:solidFill>
          <a:schemeClr val="lt1"/>
        </a:solidFill>
        <a:ln w="15875" cap="rnd" cmpd="sng">
          <a:solidFill>
            <a:schemeClr val="lt1">
              <a:shade val="50000"/>
              <a:alpha val="61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 b="1"/>
            <a:t>Break</a:t>
          </a:r>
          <a:r>
            <a:rPr lang="en-ZA" sz="2000" b="1" baseline="0"/>
            <a:t>-even Units</a:t>
          </a:r>
          <a:endParaRPr lang="en-ZA" sz="2000" b="1"/>
        </a:p>
        <a:p>
          <a:r>
            <a:rPr lang="en-ZA" sz="2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ZA" sz="2000">
              <a:effectLst/>
            </a:rPr>
            <a:t> </a:t>
          </a:r>
          <a:endParaRPr lang="en-ZA" sz="2000"/>
        </a:p>
      </xdr:txBody>
    </xdr:sp>
    <xdr:clientData/>
  </xdr:twoCellAnchor>
  <xdr:twoCellAnchor>
    <xdr:from>
      <xdr:col>5</xdr:col>
      <xdr:colOff>243840</xdr:colOff>
      <xdr:row>3</xdr:row>
      <xdr:rowOff>15240</xdr:rowOff>
    </xdr:from>
    <xdr:to>
      <xdr:col>7</xdr:col>
      <xdr:colOff>594360</xdr:colOff>
      <xdr:row>8</xdr:row>
      <xdr:rowOff>76200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89D64C0-CE78-46D8-8711-0024871FE23F}"/>
            </a:ext>
          </a:extLst>
        </xdr:cNvPr>
        <xdr:cNvSpPr txBox="1"/>
      </xdr:nvSpPr>
      <xdr:spPr>
        <a:xfrm>
          <a:off x="5006340" y="381000"/>
          <a:ext cx="1569720" cy="1089660"/>
        </a:xfrm>
        <a:prstGeom prst="rect">
          <a:avLst/>
        </a:prstGeom>
        <a:solidFill>
          <a:schemeClr val="lt1"/>
        </a:solidFill>
        <a:ln w="15875" cap="rnd" cmpd="sng">
          <a:solidFill>
            <a:schemeClr val="lt1">
              <a:shade val="50000"/>
              <a:alpha val="58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 b="1"/>
            <a:t>Monthly</a:t>
          </a:r>
          <a:r>
            <a:rPr lang="en-ZA" sz="2000" b="1" baseline="0"/>
            <a:t> Profit</a:t>
          </a:r>
        </a:p>
        <a:p>
          <a:r>
            <a:rPr lang="en-ZA" sz="2000" b="0" baseline="0"/>
            <a:t>24K</a:t>
          </a:r>
          <a:endParaRPr lang="en-ZA" sz="2000" b="0"/>
        </a:p>
        <a:p>
          <a:endParaRPr lang="en-ZA" sz="1100"/>
        </a:p>
      </xdr:txBody>
    </xdr:sp>
    <xdr:clientData/>
  </xdr:twoCellAnchor>
  <xdr:twoCellAnchor>
    <xdr:from>
      <xdr:col>5</xdr:col>
      <xdr:colOff>38100</xdr:colOff>
      <xdr:row>20</xdr:row>
      <xdr:rowOff>91440</xdr:rowOff>
    </xdr:from>
    <xdr:to>
      <xdr:col>7</xdr:col>
      <xdr:colOff>601980</xdr:colOff>
      <xdr:row>32</xdr:row>
      <xdr:rowOff>60960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1466DBB-94AE-40B4-98AD-F4DD0A11DD4A}"/>
            </a:ext>
          </a:extLst>
        </xdr:cNvPr>
        <xdr:cNvSpPr txBox="1"/>
      </xdr:nvSpPr>
      <xdr:spPr>
        <a:xfrm>
          <a:off x="4800600" y="4206240"/>
          <a:ext cx="1783080" cy="2164080"/>
        </a:xfrm>
        <a:prstGeom prst="rect">
          <a:avLst/>
        </a:prstGeom>
        <a:solidFill>
          <a:schemeClr val="lt1"/>
        </a:solidFill>
        <a:ln w="15875" cap="rnd" cmpd="sng">
          <a:solidFill>
            <a:schemeClr val="lt1">
              <a:shade val="50000"/>
              <a:alpha val="58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ZA" sz="2000" b="1"/>
            <a:t>Risk</a:t>
          </a:r>
          <a:r>
            <a:rPr lang="en-ZA" sz="2000" b="1" baseline="0"/>
            <a:t> Status  </a:t>
          </a:r>
        </a:p>
        <a:p>
          <a:endParaRPr lang="en-ZA" sz="1100" b="1"/>
        </a:p>
      </xdr:txBody>
    </xdr:sp>
    <xdr:clientData/>
  </xdr:twoCellAnchor>
  <xdr:twoCellAnchor>
    <xdr:from>
      <xdr:col>5</xdr:col>
      <xdr:colOff>91440</xdr:colOff>
      <xdr:row>24</xdr:row>
      <xdr:rowOff>106680</xdr:rowOff>
    </xdr:from>
    <xdr:to>
      <xdr:col>7</xdr:col>
      <xdr:colOff>541020</xdr:colOff>
      <xdr:row>27</xdr:row>
      <xdr:rowOff>106680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4050F62-6B0F-474F-BB01-9C4F943E09B3}"/>
            </a:ext>
          </a:extLst>
        </xdr:cNvPr>
        <xdr:cNvSpPr/>
      </xdr:nvSpPr>
      <xdr:spPr>
        <a:xfrm>
          <a:off x="4853940" y="4953000"/>
          <a:ext cx="1668780" cy="548640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Healthy Cash</a:t>
          </a:r>
          <a:r>
            <a:rPr lang="en-ZA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Flow</a:t>
          </a:r>
          <a:endParaRPr lang="en-ZA" sz="1400" b="1">
            <a:effectLst/>
          </a:endParaRPr>
        </a:p>
        <a:p>
          <a:pPr algn="l"/>
          <a:endParaRPr lang="en-ZA" sz="1100"/>
        </a:p>
      </xdr:txBody>
    </xdr:sp>
    <xdr:clientData/>
  </xdr:twoCellAnchor>
  <xdr:twoCellAnchor>
    <xdr:from>
      <xdr:col>0</xdr:col>
      <xdr:colOff>7620</xdr:colOff>
      <xdr:row>20</xdr:row>
      <xdr:rowOff>83820</xdr:rowOff>
    </xdr:from>
    <xdr:to>
      <xdr:col>4</xdr:col>
      <xdr:colOff>556260</xdr:colOff>
      <xdr:row>32</xdr:row>
      <xdr:rowOff>76200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430948-0041-4716-800B-06FEF0EAD7F9}"/>
            </a:ext>
          </a:extLst>
        </xdr:cNvPr>
        <xdr:cNvSpPr txBox="1"/>
      </xdr:nvSpPr>
      <xdr:spPr>
        <a:xfrm>
          <a:off x="7620" y="4198620"/>
          <a:ext cx="4701540" cy="2186940"/>
        </a:xfrm>
        <a:prstGeom prst="rect">
          <a:avLst/>
        </a:prstGeom>
        <a:solidFill>
          <a:schemeClr val="lt1"/>
        </a:solidFill>
        <a:ln w="15875" cap="rnd" cmpd="sng">
          <a:solidFill>
            <a:schemeClr val="lt1">
              <a:shade val="50000"/>
              <a:alpha val="61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000" b="1"/>
            <a:t>Key</a:t>
          </a:r>
          <a:r>
            <a:rPr lang="en-ZA" sz="2000" b="1" baseline="0"/>
            <a:t> Business Insights</a:t>
          </a:r>
          <a:endParaRPr lang="en-ZA" sz="2000" b="1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/>
            <a:t>Business breaks even at approximately 27 units. Current sales of 30 units provide limited but positive safety margin.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/>
            <a:t>Net monthly profit of R1,500 confirms viability,</a:t>
          </a:r>
          <a:r>
            <a:rPr lang="en-ZA" sz="1400" baseline="0"/>
            <a:t> </a:t>
          </a:r>
          <a:r>
            <a:rPr lang="en-ZA" sz="1400"/>
            <a:t>however</a:t>
          </a:r>
          <a:r>
            <a:rPr lang="en-ZA" sz="1400" baseline="0"/>
            <a:t> the </a:t>
          </a:r>
          <a:r>
            <a:rPr lang="en-ZA" sz="1400"/>
            <a:t>margin buffer remains narrow.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/>
            <a:t>5% monthly growth significantly strengthens cash flow and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/>
            <a:t> long-term sustainability.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ZA" sz="1400"/>
            <a:t>10% unpaid invoices result in temporary negative cash position in Month 1. Growth improves liquidity stability.</a:t>
          </a:r>
        </a:p>
        <a:p>
          <a:endParaRPr lang="en-ZA" sz="20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3A29-F4C4-407A-B217-05035A83AD11}">
  <dimension ref="A1:B13"/>
  <sheetViews>
    <sheetView tabSelected="1" workbookViewId="0">
      <selection activeCell="B4" sqref="B4"/>
    </sheetView>
  </sheetViews>
  <sheetFormatPr defaultRowHeight="14.4" x14ac:dyDescent="0.3"/>
  <cols>
    <col min="1" max="1" width="31.33203125" bestFit="1" customWidth="1"/>
    <col min="2" max="2" width="10.21875" bestFit="1" customWidth="1"/>
  </cols>
  <sheetData>
    <row r="1" spans="1:2" ht="21" x14ac:dyDescent="0.4">
      <c r="A1" s="1" t="s">
        <v>0</v>
      </c>
    </row>
    <row r="3" spans="1:2" x14ac:dyDescent="0.3">
      <c r="A3" t="s">
        <v>1</v>
      </c>
    </row>
    <row r="4" spans="1:2" x14ac:dyDescent="0.3">
      <c r="A4" s="10" t="s">
        <v>2</v>
      </c>
      <c r="B4" s="12">
        <v>800</v>
      </c>
    </row>
    <row r="5" spans="1:2" x14ac:dyDescent="0.3">
      <c r="A5" s="11" t="s">
        <v>3</v>
      </c>
      <c r="B5" s="12">
        <v>30</v>
      </c>
    </row>
    <row r="6" spans="1:2" x14ac:dyDescent="0.3">
      <c r="A6" s="11"/>
      <c r="B6" s="13"/>
    </row>
    <row r="7" spans="1:2" x14ac:dyDescent="0.3">
      <c r="A7" s="11" t="s">
        <v>4</v>
      </c>
      <c r="B7" s="13"/>
    </row>
    <row r="8" spans="1:2" x14ac:dyDescent="0.3">
      <c r="A8" s="10" t="s">
        <v>5</v>
      </c>
      <c r="B8" s="12">
        <v>350</v>
      </c>
    </row>
    <row r="9" spans="1:2" x14ac:dyDescent="0.3">
      <c r="A9" s="11" t="s">
        <v>6</v>
      </c>
      <c r="B9" s="12">
        <v>12000</v>
      </c>
    </row>
    <row r="10" spans="1:2" x14ac:dyDescent="0.3">
      <c r="A10" s="11"/>
      <c r="B10" s="13"/>
    </row>
    <row r="11" spans="1:2" x14ac:dyDescent="0.3">
      <c r="A11" s="11" t="s">
        <v>7</v>
      </c>
      <c r="B11" s="13"/>
    </row>
    <row r="12" spans="1:2" x14ac:dyDescent="0.3">
      <c r="A12" s="10" t="s">
        <v>8</v>
      </c>
      <c r="B12" s="14">
        <v>0.1</v>
      </c>
    </row>
    <row r="13" spans="1:2" x14ac:dyDescent="0.3">
      <c r="A13" s="11" t="s">
        <v>9</v>
      </c>
      <c r="B13" s="14">
        <v>0.05</v>
      </c>
    </row>
  </sheetData>
  <sheetProtection sheet="1" objects="1" scenarios="1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972E-E68E-4B73-A46C-44658305EF09}">
  <dimension ref="A1:E5"/>
  <sheetViews>
    <sheetView workbookViewId="0">
      <selection activeCell="C5" sqref="C5"/>
    </sheetView>
  </sheetViews>
  <sheetFormatPr defaultRowHeight="14.4" x14ac:dyDescent="0.3"/>
  <cols>
    <col min="2" max="4" width="10.109375" bestFit="1" customWidth="1"/>
    <col min="5" max="5" width="14" bestFit="1" customWidth="1"/>
  </cols>
  <sheetData>
    <row r="1" spans="1:5" ht="21" x14ac:dyDescent="0.4">
      <c r="A1" s="1" t="s">
        <v>19</v>
      </c>
      <c r="B1" s="1"/>
    </row>
    <row r="2" spans="1:5" x14ac:dyDescent="0.3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</row>
    <row r="3" spans="1:5" x14ac:dyDescent="0.3">
      <c r="A3" s="10" t="s">
        <v>25</v>
      </c>
      <c r="B3" s="15">
        <f>'Business Input'!B4*'Business Input'!B5</f>
        <v>24000</v>
      </c>
      <c r="C3" s="15">
        <f>B3*(1-'Business Input'!B12)</f>
        <v>21600</v>
      </c>
      <c r="D3" s="15">
        <f>'Business Input'!B9+('Business Input'!B8*'Business Input'!B5)</f>
        <v>22500</v>
      </c>
      <c r="E3" s="15">
        <f>C3-D3</f>
        <v>-900</v>
      </c>
    </row>
    <row r="4" spans="1:5" x14ac:dyDescent="0.3">
      <c r="A4" s="11" t="s">
        <v>26</v>
      </c>
      <c r="B4" s="16">
        <f>B3*(1+'Business Input'!B13)</f>
        <v>25200</v>
      </c>
      <c r="C4" s="16">
        <f>B4*(1-'Business Input'!B12)</f>
        <v>22680</v>
      </c>
      <c r="D4" s="16">
        <f>D3</f>
        <v>22500</v>
      </c>
      <c r="E4" s="16">
        <f>E3+C4-D4</f>
        <v>-720</v>
      </c>
    </row>
    <row r="5" spans="1:5" x14ac:dyDescent="0.3">
      <c r="A5" s="11" t="s">
        <v>27</v>
      </c>
      <c r="B5" s="16">
        <f>B4*(1+'Business Input'!B13)</f>
        <v>26460</v>
      </c>
      <c r="C5" s="16">
        <f>B5*(1-'Business Input'!B12)</f>
        <v>23814</v>
      </c>
      <c r="D5" s="16">
        <f>D4</f>
        <v>22500</v>
      </c>
      <c r="E5" s="16">
        <f>E4+C5-D5</f>
        <v>594</v>
      </c>
    </row>
  </sheetData>
  <sheetProtection algorithmName="SHA-512" hashValue="t9huyBIJfXUYWm1G5IxwG1ObKg+JD6TVNwym/UgXjJPYkflomRBsnfCF2YiuzcrXugkx0ODPc5vRWSl5frlTmw==" saltValue="tGpApKmMnkS/6BKYVH6p4w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514E-2E2E-4E24-9CC4-1EBA92653F86}">
  <dimension ref="A1:F9"/>
  <sheetViews>
    <sheetView workbookViewId="0">
      <selection activeCell="B3" sqref="B3"/>
    </sheetView>
  </sheetViews>
  <sheetFormatPr defaultRowHeight="14.4" x14ac:dyDescent="0.3"/>
  <cols>
    <col min="1" max="1" width="17" bestFit="1" customWidth="1"/>
    <col min="2" max="2" width="10.109375" bestFit="1" customWidth="1"/>
    <col min="6" max="6" width="10.21875" bestFit="1" customWidth="1"/>
  </cols>
  <sheetData>
    <row r="1" spans="1:6" ht="21" x14ac:dyDescent="0.4">
      <c r="A1" s="1" t="s">
        <v>35</v>
      </c>
    </row>
    <row r="3" spans="1:6" x14ac:dyDescent="0.3">
      <c r="A3" t="s">
        <v>13</v>
      </c>
      <c r="B3" s="12">
        <f>'Business Input'!B4*'Business Input'!B5</f>
        <v>24000</v>
      </c>
    </row>
    <row r="4" spans="1:6" x14ac:dyDescent="0.3">
      <c r="A4" t="s">
        <v>14</v>
      </c>
      <c r="B4" s="12">
        <f>'Business Input'!B8*'Business Input'!B5</f>
        <v>10500</v>
      </c>
    </row>
    <row r="5" spans="1:6" x14ac:dyDescent="0.3">
      <c r="A5" t="s">
        <v>15</v>
      </c>
      <c r="B5" s="12">
        <f>B3-B4</f>
        <v>13500</v>
      </c>
      <c r="E5" t="s">
        <v>33</v>
      </c>
      <c r="F5" s="2">
        <f>B4</f>
        <v>10500</v>
      </c>
    </row>
    <row r="6" spans="1:6" x14ac:dyDescent="0.3">
      <c r="A6" t="s">
        <v>16</v>
      </c>
      <c r="B6" s="12">
        <f>B5-'Business Input'!B9</f>
        <v>1500</v>
      </c>
      <c r="E6" t="s">
        <v>34</v>
      </c>
      <c r="F6" s="2">
        <f>'Business Input'!B9</f>
        <v>12000</v>
      </c>
    </row>
    <row r="7" spans="1:6" x14ac:dyDescent="0.3">
      <c r="B7" s="13"/>
    </row>
    <row r="8" spans="1:6" x14ac:dyDescent="0.3">
      <c r="A8" t="s">
        <v>17</v>
      </c>
      <c r="B8" s="17">
        <f>'Business Input'!B9/('Business Input'!B4-'Business Input'!B8)</f>
        <v>26.666666666666668</v>
      </c>
    </row>
    <row r="9" spans="1:6" x14ac:dyDescent="0.3">
      <c r="A9" t="s">
        <v>18</v>
      </c>
      <c r="B9" s="12">
        <f>B8*'Business Input'!B4</f>
        <v>21333.333333333336</v>
      </c>
    </row>
  </sheetData>
  <sheetProtection algorithmName="SHA-512" hashValue="EZKZ7b0L65FHyOuUCpj3Ji7YDTsAkRMCKgFse0HmWGLw4YlAvFWZzUfzyVyKb9sNQhAWrM3CBdeBN98f69Yx1g==" saltValue="12T8i1jQfpQxT9tAfE76N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9C87-4AD3-45D7-91D2-FBE9FC8CC0A5}">
  <dimension ref="A1:B4"/>
  <sheetViews>
    <sheetView workbookViewId="0">
      <selection activeCell="B4" sqref="B4"/>
    </sheetView>
  </sheetViews>
  <sheetFormatPr defaultRowHeight="14.4" x14ac:dyDescent="0.3"/>
  <cols>
    <col min="1" max="1" width="11.21875" bestFit="1" customWidth="1"/>
    <col min="2" max="2" width="15.77734375" bestFit="1" customWidth="1"/>
  </cols>
  <sheetData>
    <row r="1" spans="1:2" ht="21" x14ac:dyDescent="0.4">
      <c r="A1" s="1" t="s">
        <v>28</v>
      </c>
    </row>
    <row r="2" spans="1:2" x14ac:dyDescent="0.3">
      <c r="A2" s="8" t="s">
        <v>29</v>
      </c>
      <c r="B2" s="18" t="str">
        <f>IF('Pricing calculator'!B3&lt;0.4,"High Risk","Stable")</f>
        <v>Stable</v>
      </c>
    </row>
    <row r="3" spans="1:2" x14ac:dyDescent="0.3">
      <c r="A3" s="9" t="s">
        <v>30</v>
      </c>
      <c r="B3" s="19" t="str">
        <f>IF('Profitability Estimator'!B6&lt;0,"Loss","Profit")</f>
        <v>Profit</v>
      </c>
    </row>
    <row r="4" spans="1:2" x14ac:dyDescent="0.3">
      <c r="A4" s="9" t="s">
        <v>31</v>
      </c>
      <c r="B4" s="19" t="str">
        <f>IF('Cash Flow Model'!E5&lt;0,"Cash Flow Risk","Healthy Cash Flow")</f>
        <v>Healthy Cash Flow</v>
      </c>
    </row>
  </sheetData>
  <sheetProtection algorithmName="SHA-512" hashValue="x5ZQ6ifMX9W7dv+FkcD3FU6G3Gtj1bA3qYgz+cikRKSr+QRlWS68IIcoM59xqd+UZnBfaMWMHshv2fIS0S9CVw==" saltValue="535mmdC9PCd0wcmDC3Um0w==" spinCount="100000" sheet="1" objects="1" scenarios="1" selectLockedCells="1"/>
  <conditionalFormatting sqref="B4">
    <cfRule type="cellIs" dxfId="1" priority="1" operator="equal">
      <formula>"Healthy Cash flow"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E1E6-B1D6-4A73-BA6B-AA65947D4189}">
  <dimension ref="A1:B5"/>
  <sheetViews>
    <sheetView workbookViewId="0">
      <selection activeCell="B4" sqref="B4"/>
    </sheetView>
  </sheetViews>
  <sheetFormatPr defaultRowHeight="14.4" x14ac:dyDescent="0.3"/>
  <cols>
    <col min="1" max="1" width="16.77734375" bestFit="1" customWidth="1"/>
    <col min="2" max="2" width="12.88671875" bestFit="1" customWidth="1"/>
  </cols>
  <sheetData>
    <row r="1" spans="1:2" ht="21" x14ac:dyDescent="0.4">
      <c r="A1" s="1" t="s">
        <v>36</v>
      </c>
    </row>
    <row r="2" spans="1:2" x14ac:dyDescent="0.3">
      <c r="A2" s="10" t="s">
        <v>10</v>
      </c>
      <c r="B2" s="18">
        <f>'Business Input'!B4-'Pricing calculator'!B8</f>
        <v>800</v>
      </c>
    </row>
    <row r="3" spans="1:2" x14ac:dyDescent="0.3">
      <c r="A3" s="11" t="s">
        <v>11</v>
      </c>
      <c r="B3" s="20">
        <f>B2/'Business Input'!B4</f>
        <v>1</v>
      </c>
    </row>
    <row r="4" spans="1:2" x14ac:dyDescent="0.3">
      <c r="B4" s="21"/>
    </row>
    <row r="5" spans="1:2" x14ac:dyDescent="0.3">
      <c r="A5" t="s">
        <v>12</v>
      </c>
      <c r="B5" s="21" t="str">
        <f>IF(B3&lt;0.4,"Low Margin Risk","Healthy Margin")</f>
        <v>Healthy Margin</v>
      </c>
    </row>
  </sheetData>
  <sheetProtection algorithmName="SHA-512" hashValue="YIrilq/dc6EnezJ2NYsARX2YcM+sRMzq8f88vL0eMAhsZ83sxXMTD2Jia96CFSl3t/LjXy3dzKq59OrOXUu5Ow==" saltValue="X77z8e9Uv3/7Aewj5flOEw==" spinCount="100000" sheet="1" objects="1" scenarios="1" selectLockedCells="1"/>
  <conditionalFormatting sqref="B5">
    <cfRule type="cellIs" dxfId="0" priority="1" operator="equal">
      <formula>"Healthy Margin"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5A50-4934-41B0-A68D-142DF0B6FAAF}">
  <dimension ref="A1:C5"/>
  <sheetViews>
    <sheetView showGridLines="0" zoomScaleNormal="100" zoomScaleSheetLayoutView="70" workbookViewId="0">
      <selection activeCell="O15" sqref="O15"/>
    </sheetView>
  </sheetViews>
  <sheetFormatPr defaultRowHeight="14.4" x14ac:dyDescent="0.3"/>
  <cols>
    <col min="1" max="1" width="13.88671875" customWidth="1"/>
    <col min="2" max="2" width="13.5546875" bestFit="1" customWidth="1"/>
    <col min="3" max="3" width="24.21875" bestFit="1" customWidth="1"/>
  </cols>
  <sheetData>
    <row r="1" spans="1:3" ht="31.2" x14ac:dyDescent="0.6">
      <c r="A1" s="22" t="s">
        <v>0</v>
      </c>
    </row>
    <row r="2" spans="1:3" ht="18" x14ac:dyDescent="0.35">
      <c r="A2" s="7" t="s">
        <v>32</v>
      </c>
    </row>
    <row r="3" spans="1:3" ht="21" x14ac:dyDescent="0.4">
      <c r="A3" s="1"/>
    </row>
    <row r="4" spans="1:3" ht="23.4" x14ac:dyDescent="0.45">
      <c r="A4" s="6"/>
      <c r="B4" s="6"/>
      <c r="C4" s="6"/>
    </row>
    <row r="5" spans="1:3" x14ac:dyDescent="0.3">
      <c r="B5" s="3"/>
      <c r="C5" s="4"/>
    </row>
  </sheetData>
  <pageMargins left="0.7" right="0.7" top="0.75" bottom="0.75" header="0.3" footer="0.3"/>
  <pageSetup paperSize="9" scale="91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Business Input</vt:lpstr>
      <vt:lpstr>Cash Flow Model</vt:lpstr>
      <vt:lpstr>Profitability Estimator</vt:lpstr>
      <vt:lpstr>Risk indicators</vt:lpstr>
      <vt:lpstr>Pricing calculator</vt:lpstr>
      <vt:lpstr>Dashboards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Lerato Leshilo</dc:creator>
  <cp:lastModifiedBy>Lerato Leshilo</cp:lastModifiedBy>
  <dcterms:created xsi:type="dcterms:W3CDTF">2026-02-20T21:58:32Z</dcterms:created>
  <dcterms:modified xsi:type="dcterms:W3CDTF">2026-02-23T15:04:24Z</dcterms:modified>
</cp:coreProperties>
</file>